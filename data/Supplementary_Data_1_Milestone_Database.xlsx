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035" windowHeight="12255" firstSheet="1" activeTab="4"/>
  </bookViews>
  <sheets>
    <sheet name="README" sheetId="1" r:id="rId1"/>
    <sheet name="Provenance" sheetId="2" r:id="rId2"/>
    <sheet name="Data_Dictionary" sheetId="3" r:id="rId3"/>
    <sheet name="Civilization_Nodes" sheetId="4" r:id="rId4"/>
    <sheet name="Life_Evolution_Nodes" sheetId="5" r:id="rId5"/>
    <sheet name="Civilization_Intervals" sheetId="6" r:id="rId6"/>
    <sheet name="Life_Intervals" sheetId="7" r:id="rId7"/>
    <sheet name="Model_Fit" sheetId="8" r:id="rId8"/>
    <sheet name="Forecast_Window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<sst xmlns="http://schemas.openxmlformats.org/spreadsheetml/2006/main" count="315" uniqueCount="191">
  <si>
    <t>Supplementary Data 1: Milestone Database (Nature-Portfolio style)</t>
  </si>
  <si>
    <t>Purpose</t>
  </si>
  <si>
    <t>This spreadsheet contains (i) raw milestone timestamps for the Civilization and Life sequences, (ii) derived adjacent intervals Δt and their log transform, and (iii) model-fit outputs. It is designed to enable full reproduction of the key quantitative results and figures.</t>
  </si>
  <si>
    <t>Reference time convention</t>
  </si>
  <si>
    <t>Use a single, explicit 'Present_Year' for the conversion of BCE/CE to BP. Recommended: Present_Year = 2025 (year of analysis). Record it in the 'Provenance' sheet.</t>
  </si>
  <si>
    <t>How to use</t>
  </si>
  <si>
    <t>1) Fill in 'Civilization_Nodes' and 'Life_Evolution_Nodes' sheets. 2) Ensure Node_ID runs from 1..14 and Time_BP_Median is populated for each node. 3) Derived sheets calculate Δt and ln(Δt) automatically. 4) 'Model_Fit' computes slope/intercept via LINEST and derives r = exp(slope) (natural log).</t>
  </si>
  <si>
    <t>Notes</t>
  </si>
  <si>
    <t>- Keep 'Time_BP_Lower' and 'Time_BP_Upper' when the literature reports ranges; the model uses the median (or chosen point estimate) recorded in Time_BP_Median.
- If you use log10 instead of ln, update the formulas accordingly (r = 10^(slope)).</t>
  </si>
  <si>
    <t>- For era-labeled milestones (e.g., 'Late 20th Century', '21st Century'), this dataset operationalizes them as explicit year ranges (Computer/Digital: 1970–1990 CE; AI (early stage): 2015–2025 CE) to enable reproducible BP conversion and interval modeling. These operational choices are recorded in the 'Dating_Rationale' column.</t>
  </si>
  <si>
    <t>- IMPORTANT: 'Recent Research (2019–2025)' is a literature-review horizon (Table 1) and must not be interpreted as a milestone year. The ~2035±W result is a forecast window from model extrapolation and is stored in the 'Forecast_Window' sheet (output), not as an input node timestamp.</t>
  </si>
  <si>
    <t>Field</t>
  </si>
  <si>
    <t>Value</t>
  </si>
  <si>
    <t>Dataset_Title</t>
  </si>
  <si>
    <t>Milestone database for exponential decay modeling (civilization &amp; life)</t>
  </si>
  <si>
    <t>Dataset_Version</t>
  </si>
  <si>
    <t>v2.0</t>
  </si>
  <si>
    <t>Created_On</t>
  </si>
  <si>
    <t>2026-02-02</t>
  </si>
  <si>
    <t>Created_By</t>
  </si>
  <si>
    <t>Zhu Congqian; Liu Zhiyuan (authors; data curation)</t>
  </si>
  <si>
    <t>Corresponding_Author</t>
  </si>
  <si>
    <t>Liu Zhiyuan</t>
  </si>
  <si>
    <t>Present_Year_for_BP</t>
  </si>
  <si>
    <t>Log_Base</t>
  </si>
  <si>
    <t>ln (natural log)</t>
  </si>
  <si>
    <t>License</t>
  </si>
  <si>
    <t>CC BY 4.0 (recommended)</t>
  </si>
  <si>
    <t>Column</t>
  </si>
  <si>
    <t>Meaning / Guidance</t>
  </si>
  <si>
    <t>Node_ID</t>
  </si>
  <si>
    <t>Integer 1..14 in chronological order (oldest -&gt; newest).</t>
  </si>
  <si>
    <t>Node_Name</t>
  </si>
  <si>
    <t xml:space="preserve">Short milestone label </t>
  </si>
  <si>
    <t>Time_BP_Lower</t>
  </si>
  <si>
    <t>Lower bound of time estimate (years before present) if a range exists; otherwise blank.</t>
  </si>
  <si>
    <t>Time_BP_Upper</t>
  </si>
  <si>
    <t>Upper bound of time estimate (years before present) if a range exists; otherwise blank.</t>
  </si>
  <si>
    <t>Time_BP_Median</t>
  </si>
  <si>
    <t>Point estimate used for modeling (typically median of bounds; or best estimate).</t>
  </si>
  <si>
    <t>Unit</t>
  </si>
  <si>
    <t>Use 'years BP' consistently.</t>
  </si>
  <si>
    <t>Primary_Reference</t>
  </si>
  <si>
    <t>Foundational/authoritative reference supporting the milestone time and definition.</t>
  </si>
  <si>
    <t>Recent_Reference</t>
  </si>
  <si>
    <t>Recent literature (e.g., 2019–2025) supporting the milestone and/or updated evidence.</t>
  </si>
  <si>
    <t>Dating_Rationale</t>
  </si>
  <si>
    <t>One sentence: why this time is chosen (e.g., midpoint of range; consensus date; earliest robust evidence).</t>
  </si>
  <si>
    <t>Any additional remarks (regional variability, alternative chronologies, etc.).</t>
  </si>
  <si>
    <t>Interval_Delta_t</t>
  </si>
  <si>
    <t>Δt between adjacent nodes: Time_BP[n] - Time_BP[n+1].</t>
  </si>
  <si>
    <t>Log_Interval_ln</t>
  </si>
  <si>
    <t>ln(Δt) for regression.</t>
  </si>
  <si>
    <t>Slope_ln_r</t>
  </si>
  <si>
    <t>Regression slope in ln-space (equals ln(r)).</t>
  </si>
  <si>
    <t>Intercept_ln_dt0</t>
  </si>
  <si>
    <t>Regression intercept in ln-space (equals ln(Δt0)).</t>
  </si>
  <si>
    <t>Decay_r</t>
  </si>
  <si>
    <t>Decay coefficient r = exp(Slope_ln_r).</t>
  </si>
  <si>
    <t>R_squared</t>
  </si>
  <si>
    <t>R² from the linear regression in ln-space.</t>
  </si>
  <si>
    <t>Emergence of Genus Homo</t>
  </si>
  <si>
    <t>years BP</t>
  </si>
  <si>
    <t>Weiner, J.S., 1962. The pattern of evolutionary development of the genus Homo. In Ideas on Human Evolution: Selected Essays, 1949–1961 (pp. 521–532). Harvard University Press.</t>
  </si>
  <si>
    <t>Ponce de León, M.S. et al., 2021. The primitive brain of early Homo. Science 372(6538): 165–171.</t>
  </si>
  <si>
    <t>Deep-time estimate expressed in years BP; point estimate used for modeling.</t>
  </si>
  <si>
    <t>Time_label: ~3 Ma. Approximate timing for earliest Homo (ca. 3 Ma) reported in paleoanthropological literature.</t>
  </si>
  <si>
    <t>Systematic Stone Tool Use</t>
  </si>
  <si>
    <t>Binford, S.R. &amp; Binford, L.R., 1969. Stone tools and human behavior. Scientific American 220(4): 70–87.</t>
  </si>
  <si>
    <t>Lewis, J.E. &amp; Harmand, S., 2016. An earlier origin for stone tool making: implications for cognitive evolution and the transition to Homo. Philosophical Transactions of the Royal Society B 371(1698): 20150233.</t>
  </si>
  <si>
    <t>Time_label: ~2.5 Ma. Oldowan and early lithic traditions (approx.).</t>
  </si>
  <si>
    <t>Control of Fire and Cooking</t>
  </si>
  <si>
    <t>Rehder, J.E., 2000. Mastery and uses of fire in antiquity. McGill-Queen's University Press.</t>
  </si>
  <si>
    <t>McLauchlan, K.K. et al., 2020. Fire as a fundamental ecological process: research advances and frontiers. Journal of Ecology 108(5): 2047–2069.</t>
  </si>
  <si>
    <t>Deep-time estimate expressed in years BP; literature reports a range and both bounds are retained; median used for modeling.</t>
  </si>
  <si>
    <t>Time_label: 700–400 ka. Range reflects debate on habitual fire use.</t>
  </si>
  <si>
    <t>Projectile/Throwing Weapons</t>
  </si>
  <si>
    <t>Hughes, S.S., 1998. Getting to the point: evolutionary change in prehistoric weaponry. Journal of Archaeological Method and Theory 5(4): 345–408.</t>
  </si>
  <si>
    <t>Lombardo, M.P. &amp; Deaner, R.O., 2018. Born to throw: the ecological causes that shaped the evolution of throwing in humans. The Quarterly Review of Biology 93(1): 1–16.</t>
  </si>
  <si>
    <t>Time_label: ~300 ka. Milestone centered on biomechanical/cognitive implications of accurate throwing.</t>
  </si>
  <si>
    <t>Symbolic Language, Art, and Shared Intentionality</t>
  </si>
  <si>
    <t>Henshilwood, C.S. &amp; Dubreuil, B., 2017. The Still Bay and Howiesons Poort, 77–59 ka: symbolic material culture and modern human origins. Current Anthropology 58(S16): S3–S27.</t>
  </si>
  <si>
    <t>Finlayson, C., 2019. The smart Neanderthal: bird catching, cave art, and the cognitive revolution. Oxford University Press.</t>
  </si>
  <si>
    <t>Time_label: 50–30 ka. Approximate window for symbolic culture consolidation.</t>
  </si>
  <si>
    <t>Neolithic Revolution (Agriculture)</t>
  </si>
  <si>
    <t>Bar-Yosef, O., 1998. On the nature of transitions: the Middle to Upper Palaeolithic and the Neolithic Revolution. Cambridge Archaeological Journal 8(2): 141–163.</t>
  </si>
  <si>
    <t>Shavit, A. &amp; Sharon, G., 2023. Can models of evolutionary transition clarify the debates over the Neolithic Revolution? Philosophical Transactions of the Royal Society B 378(1872): 20210413.</t>
  </si>
  <si>
    <t>Calendar estimate in BCE converted to BP using Present_Year=2025 (BP≈2025 + BCE_year). Where a range is given, bounds reflect literature window; median used for modeling.</t>
  </si>
  <si>
    <t>Time_label: ~10,000 BCE. Single-point approximation anchored at 10,000 BCE.</t>
  </si>
  <si>
    <t>Formation of Cities and States</t>
  </si>
  <si>
    <t>Ur, J.A., 2014. Households and the emergence of cities in ancient Mesopotamia. Cambridge University Press.</t>
  </si>
  <si>
    <t>Jessop, B., 2016. The state: past, present, future. Polity.</t>
  </si>
  <si>
    <t>Time_label: 4000–3000 BCE. Range reflects gradual urban/state formation across regions.</t>
  </si>
  <si>
    <t>Invention of Writing</t>
  </si>
  <si>
    <t>Senner, W.M. (Ed.), 1991. The origins of writing. University of Nebraska Press.</t>
  </si>
  <si>
    <t>Schmandt-Besserat, D., 2018. The earliest precursor of writing. In Communication in History (pp. 5–14). Routledge.</t>
  </si>
  <si>
    <t>Time_label: ~3100 BCE. Anchored on earliest Mesopotamian writing systems (approx.).</t>
  </si>
  <si>
    <t>Axial Age Philosophical Breakthrough</t>
  </si>
  <si>
    <t>Eisenstadt, S.N. (Ed.), 2012. The origins and diversity of axial age civilizations. SUNY Press.</t>
  </si>
  <si>
    <t>Mullins, D.A. et al., 2018. A systematic assessment of “Axial Age” proposals using global comparative historical evidence. American Sociological Review 83(3): 596–626.</t>
  </si>
  <si>
    <t>Time_label: 6th–5th century BCE. Century-based dating; modeled as a range.</t>
  </si>
  <si>
    <t>Formation and Diffusion of World Religions</t>
  </si>
  <si>
    <t>Bellah, R.N., 1970. Religious evolution. In Readings in Social Evolution and Development (pp. 211–244). Pergamon.</t>
  </si>
  <si>
    <t>Masuzawa, T., 2024. The invention of world religions. University of Chicago Press.</t>
  </si>
  <si>
    <t>Century-based estimate converted to BP using Present_Year=2025 (BP≈2025 + BCE_year). Bounds represent the century window; median used for modeling.</t>
  </si>
  <si>
    <t>Time_label: 1st–7th century CE. Range captures formation + diffusion dynamics across Eurasia.</t>
  </si>
  <si>
    <t>Newton's Laws of Motion</t>
  </si>
  <si>
    <t>McIntyre, J. et al., 2001. Does the brain model Newton's laws? Nature Neuroscience 4(7): 693–694.</t>
  </si>
  <si>
    <t>Susskind, L., 2020. Complexity and Newton's laws. Frontiers in Physics 8: 262.</t>
  </si>
  <si>
    <t>Calendar estimate in CE converted to BP using Present_Year=2025 (BP=2025−CE_year). Point estimate anchored on canonical publication year.</t>
  </si>
  <si>
    <t>Time_label: 1687 CE. Anchored on Principia (1687) as canonical publication date.</t>
  </si>
  <si>
    <t>Quantum Mechanics</t>
  </si>
  <si>
    <t>Messiah, A., 2014. Quantum mechanics. Courier Corporation.</t>
  </si>
  <si>
    <t>Sakurai, J.J. &amp; Napolitano, J., 2020. Modern quantum mechanics. Cambridge University Press.</t>
  </si>
  <si>
    <t>Time_label: ~1900 CE. Anchored on early 20th-century onset (Planck era).</t>
  </si>
  <si>
    <t>Computer/Digital Revolution</t>
  </si>
  <si>
    <t>Sichel, D.E., 1997. The computer revolution: an economic perspective. Brookings Institution Press.</t>
  </si>
  <si>
    <t>Sloman, A., 2019. What else is there besides digital computation? In The Turing Guide (pp. 291–312). Oxford University Press.</t>
  </si>
  <si>
    <t>Era-labeled milestone operationalized as 1970–1990 CE; converted to BP with Present_Year=2025 (BP=2025−year). Range bounds reflect the operational window; median used for modeling.</t>
  </si>
  <si>
    <t>Time_label: Late 20th Century. Broad-century label operationalized as 1970–1990 (microprocessor-to-personal computing era).</t>
  </si>
  <si>
    <t>Artificial Intelligence Revolution (Early Stage)</t>
  </si>
  <si>
    <t>Makridakis, S., 2017. The forthcoming Artificial Intelligence (AI) revolution: its impact on society and firms. Futures 90: 46–60.</t>
  </si>
  <si>
    <t>Afjal, M. et al., 2025. Artificial intelligence in robotics: a comprehensive review. Artificial Intelligence Review 58(2): 132.</t>
  </si>
  <si>
    <t>Operationalized within the manuscript's '21st Century (Early Stage)' label: mapped to 2010–2020 CE for numeric BP conversion under Present_Year_for_BP=2025; median used for modeling; adjust bounds if a different operational window is adopted.</t>
  </si>
  <si>
    <t>Time_label: 21st Century (Early Stage). Numeric window set to 2010–2020 to avoid conflating the literature-review horizon (2019–2025) or the BP reference year (2025) with a milestone date. Note: the ~2035±W window reported in the paper is a model-extrapolated *future* transition window, not an input node timestamp.</t>
  </si>
  <si>
    <t>Origin of Life</t>
  </si>
  <si>
    <t>Orgel, L.E., 1994. The origin of life on the Earth. Scientific American 271(4): 76–83.</t>
  </si>
  <si>
    <t>Panov, A.D., 2005. Scaling law of the biological evolution and the hypothesis of the self-consistent galaxy origin of life. Advances in Space Research 36(2): 220–225.</t>
  </si>
  <si>
    <t>Reported ages in Ga/Ma/ka were converted to years BP (1 Ga=10^9, 1 Ma=10^6, 1 ka=10^3 years). Point estimates are used for sequence modeling; where multiple sources exist, references indicate support.</t>
  </si>
  <si>
    <t>Time_label: ~3.9 Ga. Deep-time estimate; treated as point for modeling.</t>
  </si>
  <si>
    <t>Great Oxidation Event</t>
  </si>
  <si>
    <t>Gumsley, A.P. et al., 2017. Timing and tempo of the Great Oxidation Event. Proceedings of the National Academy of Sciences 114(8): 1811–1816.</t>
  </si>
  <si>
    <t/>
  </si>
  <si>
    <t>Time_label: ~2.4 Ga. Anchored on geochemical constraints summarized in Gumsley et al.</t>
  </si>
  <si>
    <t>Appearance of Eukaryotes</t>
  </si>
  <si>
    <t>Vellai, T. &amp; Vida, G., 1999. The origin of eukaryotes: the difference between prokaryotic and eukaryotic cells. Proceedings of the Royal Society B 266(1428): 1571–1577.</t>
  </si>
  <si>
    <t>Poole, A.M. &amp; Gribaldo, S., 2014. Eukaryotic origins: how and when was the mitochondrion acquired? Cold Spring Harbor Perspectives in Biology 6(12): a015990.</t>
  </si>
  <si>
    <t>Time_label: ~1.8 Ga. Eukaryogenesis timing is uncertain; point estimate used for sequence modeling.</t>
  </si>
  <si>
    <t>Spread of Sexual Reproduction</t>
  </si>
  <si>
    <t>Time_label: ~1.0 Ga. Operational milestone for major transitions associated with sex.</t>
  </si>
  <si>
    <t>Establishment of Multicellularity</t>
  </si>
  <si>
    <t>Niklas, K.J., 2014. The evolutionary-developmental origins of multicellularity. American Journal of Botany 101(1): 6–25.</t>
  </si>
  <si>
    <t>Time_label: ~0.8 Ga. Multicellularity evolved multiple times; representative estimate used.</t>
  </si>
  <si>
    <t>Establishment of Metazoan Lineage</t>
  </si>
  <si>
    <t>Lake, J.A., 1990. Origin of the metazoa. Proceedings of the National Academy of Sciences 87(19): 763–766.</t>
  </si>
  <si>
    <t>Time_label: 541 Ma. Anchored near the Cambrian boundary.</t>
  </si>
  <si>
    <t>Jawed Vertebrates</t>
  </si>
  <si>
    <t>Forey, P., 1995. The origin of jawed vertebrates. In Major Events in the History of Life (pp. 273–281). Jones &amp; Bartlett.</t>
  </si>
  <si>
    <t>Time_label: 430 Ma. Silurian estimate (approx.).</t>
  </si>
  <si>
    <t>Tetrapod Terrestrialization</t>
  </si>
  <si>
    <t>Clack, J.A., 2012. Gaining Ground: The Origin and Evolution of Tetrapods (2nd ed.). Indiana University Press.</t>
  </si>
  <si>
    <t>Fukuhara, K. et al., 2022. The origin of terrestrial locomotion: a review. Integrative and Comparative Biology 62(2): 221–232.</t>
  </si>
  <si>
    <t>Time_label: 370 Ma. Representative estimate for Devonian land transition.</t>
  </si>
  <si>
    <t>Amniotes</t>
  </si>
  <si>
    <t>Reisz, R.R., 1997. The origin and early evolutionary history of amniotes. Trends in Ecology &amp; Evolution 12(6): 218–222.</t>
  </si>
  <si>
    <t>Reisz, R.R. &amp; Modesto, S.P., 2016. Archerpeton anthracos from the Joggins Formation and the early radiation of amniotes. The Anatomical Record 299(6): 747–759.</t>
  </si>
  <si>
    <t>Time_label: 312 Ma. Late Carboniferous estimate.</t>
  </si>
  <si>
    <t>Key Innovations in Mammaliaforms</t>
  </si>
  <si>
    <t>Hunter, J.P. &amp; Jernvall, J., 1995. The hypocone as a key innovation in mammalian evolution. Proceedings of the National Academy of Sciences 92(23): 10718–10722.</t>
  </si>
  <si>
    <t>Time_label: 210 Ma. Triassic–Jurassic mammaliaform diversification (approx.).</t>
  </si>
  <si>
    <t>Mammalian Expansion after K–Pg</t>
  </si>
  <si>
    <t>Pires, M.M. et al., 2018. Pleistocene megafaunal extinctions and the functional diversity of mammals. Ecology Letters 21(4): 602–614.</t>
  </si>
  <si>
    <t>Time_label: 66 Ma. Anchored on K–Pg boundary for expansion dynamics.</t>
  </si>
  <si>
    <t>Primate Crown Group</t>
  </si>
  <si>
    <t>Macho, G.A., 2001. Primate phylogeny. In Encyclopedia of Life Sciences. John Wiley &amp; Sons.</t>
  </si>
  <si>
    <t>Time_label: 25 Ma. Oligocene estimate (approx.).</t>
  </si>
  <si>
    <t>Hominin–Ape Divergence / Hominidae Establishment</t>
  </si>
  <si>
    <t>Andrews, P. &amp; Harrison, T., 2005. The last common ancestor of apes and humans. In Interpreting the Past (pp. 103–120). Brill.</t>
  </si>
  <si>
    <t>Time_label: 7 Ma. Late Miocene estimate (approx.).</t>
  </si>
  <si>
    <t>Emergence of Homo sapiens</t>
  </si>
  <si>
    <t>Stringer, C., 2016. The origin and evolution of Homo sapiens. Philosophical Transactions of the Royal Society B 371(1698): 20150237.</t>
  </si>
  <si>
    <t>Time_label: 300 ka. Estimate for early anatomically modern humans.</t>
  </si>
  <si>
    <t>Node_ID(n)</t>
  </si>
  <si>
    <t>Node_ID(n+1)</t>
  </si>
  <si>
    <t>Time_BP(n)</t>
  </si>
  <si>
    <t>Time_BP(n+1)</t>
  </si>
  <si>
    <t>Sequence</t>
  </si>
  <si>
    <t>n_range</t>
  </si>
  <si>
    <t>Civilization</t>
  </si>
  <si>
    <t>n=1..13</t>
  </si>
  <si>
    <t>Natural log; r = exp(slope).</t>
  </si>
  <si>
    <t>Life</t>
  </si>
  <si>
    <t>Forecast_Output</t>
  </si>
  <si>
    <t>Calendar_Year_CE</t>
  </si>
  <si>
    <t>BP_relative_to_2025</t>
  </si>
  <si>
    <t>Description</t>
  </si>
  <si>
    <t>Method_Linkage</t>
  </si>
  <si>
    <t>Predicted civilizational transition window</t>
  </si>
  <si>
    <t>Extrapolated future transition (singularity) window derived from fitted exponential-decay interval model.</t>
  </si>
  <si>
    <t>See Methods: extrapolation adds predicted next interval to latest known node time; Figures 1–2 map to 2035±W.</t>
  </si>
  <si>
    <t>BP is negative because Present_Year_for_BP is 2025. Keep as forecast output; do not mix with observed node timestamps.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</si>
</sst>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15"/>
  <sheetViews>
    <sheetView workbookViewId="0">
      <selection activeCell="A1" sqref="A1"/>
    </sheetView>
  </sheetViews>
  <sheetFormatPr defaultColWidth="9" defaultRowHeight="13.5"/>
  <cols>
    <col min="1" max="1" width="110" customWidth="1"/>
  </cols>
  <sheetData>
    <row r="1" ht="18.75" spans="1:1">
      <c r="A1" s="3" t="s">
        <v>0</v>
      </c>
    </row>
    <row r="3" spans="1:1">
      <c r="A3" s="4" t="s">
        <v>1</v>
      </c>
    </row>
    <row r="4" ht="40.5" spans="1:1">
      <c r="A4" s="5" t="s">
        <v>2</v>
      </c>
    </row>
    <row r="5" spans="1:1">
      <c r="A5" s="5"/>
    </row>
    <row r="6" spans="1:1">
      <c r="A6" s="6" t="s">
        <v>3</v>
      </c>
    </row>
    <row r="7" ht="27" spans="1:1">
      <c r="A7" s="5" t="s">
        <v>4</v>
      </c>
    </row>
    <row r="8" spans="1:1">
      <c r="A8" s="5"/>
    </row>
    <row r="9" spans="1:1">
      <c r="A9" s="6" t="s">
        <v>5</v>
      </c>
    </row>
    <row r="10" ht="40.5" spans="1:1">
      <c r="A10" s="5" t="s">
        <v>6</v>
      </c>
    </row>
    <row r="11" spans="1:1">
      <c r="A11" s="5"/>
    </row>
    <row r="12" spans="1:1">
      <c r="A12" s="6" t="s">
        <v>7</v>
      </c>
    </row>
    <row r="13" ht="40.5" spans="1:1">
      <c r="A13" s="5" t="s">
        <v>8</v>
      </c>
    </row>
    <row r="14" spans="1:1">
      <c r="A14" t="s">
        <v>9</v>
      </c>
    </row>
    <row r="15" spans="1:1">
      <c r="A15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9"/>
  <sheetViews>
    <sheetView workbookViewId="0">
      <selection activeCell="A1" sqref="A1"/>
    </sheetView>
  </sheetViews>
  <sheetFormatPr defaultColWidth="9" defaultRowHeight="13.5" outlineLevelCol="1"/>
  <cols>
    <col min="1" max="1" width="22" customWidth="1"/>
    <col min="2" max="2" width="55" customWidth="1"/>
  </cols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>
        <v>2025</v>
      </c>
    </row>
    <row r="8" spans="1:2">
      <c r="A8" t="s">
        <v>24</v>
      </c>
      <c r="B8" t="s">
        <v>25</v>
      </c>
    </row>
    <row r="9" spans="1:2">
      <c r="A9" t="s">
        <v>26</v>
      </c>
      <c r="B9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7"/>
  <sheetViews>
    <sheetView workbookViewId="0">
      <selection activeCell="B10" sqref="B10"/>
    </sheetView>
  </sheetViews>
  <sheetFormatPr defaultColWidth="9" defaultRowHeight="13.5" outlineLevelCol="1"/>
  <cols>
    <col min="1" max="1" width="19" customWidth="1"/>
    <col min="2" max="2" width="70" customWidth="1"/>
  </cols>
  <sheetData>
    <row r="1" spans="1:2">
      <c r="A1" s="1" t="s">
        <v>28</v>
      </c>
      <c r="B1" s="1" t="s">
        <v>29</v>
      </c>
    </row>
    <row r="2" spans="1:2">
      <c r="A2" s="2" t="s">
        <v>30</v>
      </c>
      <c r="B2" s="2" t="s">
        <v>31</v>
      </c>
    </row>
    <row r="3" spans="1:2">
      <c r="A3" s="2" t="s">
        <v>32</v>
      </c>
      <c r="B3" s="2" t="s">
        <v>33</v>
      </c>
    </row>
    <row r="4" ht="27" spans="1:2">
      <c r="A4" s="2" t="s">
        <v>34</v>
      </c>
      <c r="B4" s="2" t="s">
        <v>35</v>
      </c>
    </row>
    <row r="5" ht="27" spans="1:2">
      <c r="A5" s="2" t="s">
        <v>36</v>
      </c>
      <c r="B5" s="2" t="s">
        <v>37</v>
      </c>
    </row>
    <row r="6" ht="27" spans="1:2">
      <c r="A6" s="2" t="s">
        <v>38</v>
      </c>
      <c r="B6" s="2" t="s">
        <v>39</v>
      </c>
    </row>
    <row r="7" spans="1:2">
      <c r="A7" s="2" t="s">
        <v>40</v>
      </c>
      <c r="B7" s="2" t="s">
        <v>41</v>
      </c>
    </row>
    <row r="8" ht="27" spans="1:2">
      <c r="A8" s="2" t="s">
        <v>42</v>
      </c>
      <c r="B8" s="2" t="s">
        <v>43</v>
      </c>
    </row>
    <row r="9" ht="27" spans="1:2">
      <c r="A9" s="2" t="s">
        <v>44</v>
      </c>
      <c r="B9" s="2" t="s">
        <v>45</v>
      </c>
    </row>
    <row r="10" ht="27" spans="1:2">
      <c r="A10" s="2" t="s">
        <v>46</v>
      </c>
      <c r="B10" s="2" t="s">
        <v>47</v>
      </c>
    </row>
    <row r="11" ht="27" spans="1:2">
      <c r="A11" s="2" t="s">
        <v>7</v>
      </c>
      <c r="B11" s="2" t="s">
        <v>48</v>
      </c>
    </row>
    <row r="12" spans="1:2">
      <c r="A12" s="2" t="s">
        <v>49</v>
      </c>
      <c r="B12" s="2" t="s">
        <v>50</v>
      </c>
    </row>
    <row r="13" spans="1:2">
      <c r="A13" s="2" t="s">
        <v>51</v>
      </c>
      <c r="B13" s="2" t="s">
        <v>52</v>
      </c>
    </row>
    <row r="14" spans="1:2">
      <c r="A14" s="2" t="s">
        <v>53</v>
      </c>
      <c r="B14" s="2" t="s">
        <v>54</v>
      </c>
    </row>
    <row r="15" spans="1:2">
      <c r="A15" s="2" t="s">
        <v>55</v>
      </c>
      <c r="B15" s="2" t="s">
        <v>56</v>
      </c>
    </row>
    <row r="16" spans="1:2">
      <c r="A16" s="2" t="s">
        <v>57</v>
      </c>
      <c r="B16" s="2" t="s">
        <v>58</v>
      </c>
    </row>
    <row r="17" spans="1:2">
      <c r="A17" s="2" t="s">
        <v>59</v>
      </c>
      <c r="B17" s="2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5"/>
  <sheetViews>
    <sheetView workbookViewId="0">
      <pane ySplit="1" topLeftCell="A15" activePane="bottomLeft" state="frozen"/>
      <selection/>
      <selection pane="bottomLeft" activeCell="A1" sqref="A1"/>
    </sheetView>
  </sheetViews>
  <sheetFormatPr defaultColWidth="9" defaultRowHeight="13.5"/>
  <cols>
    <col min="1" max="1" width="10" customWidth="1"/>
    <col min="2" max="2" width="11" customWidth="1"/>
    <col min="3" max="4" width="15" customWidth="1"/>
    <col min="5" max="5" width="16" customWidth="1"/>
    <col min="6" max="6" width="10" customWidth="1"/>
    <col min="7" max="7" width="19" customWidth="1"/>
    <col min="8" max="9" width="18" customWidth="1"/>
    <col min="10" max="10" width="10" customWidth="1"/>
  </cols>
  <sheetData>
    <row r="1" ht="27" spans="1:10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7</v>
      </c>
    </row>
    <row r="2" ht="202.5" spans="1:10">
      <c r="A2" s="2">
        <v>1</v>
      </c>
      <c r="B2" s="2" t="s">
        <v>61</v>
      </c>
      <c r="C2" s="2">
        <v>3000000</v>
      </c>
      <c r="D2" s="2">
        <v>3000000</v>
      </c>
      <c r="E2" s="2">
        <v>3000000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</row>
    <row r="3" ht="202.5" spans="1:10">
      <c r="A3" s="2">
        <v>2</v>
      </c>
      <c r="B3" s="2" t="s">
        <v>67</v>
      </c>
      <c r="C3" s="2">
        <v>2500000</v>
      </c>
      <c r="D3" s="2">
        <v>2500000</v>
      </c>
      <c r="E3" s="2">
        <v>2500000</v>
      </c>
      <c r="F3" s="2" t="s">
        <v>62</v>
      </c>
      <c r="G3" s="2" t="s">
        <v>68</v>
      </c>
      <c r="H3" s="2" t="s">
        <v>69</v>
      </c>
      <c r="I3" s="2" t="s">
        <v>65</v>
      </c>
      <c r="J3" s="2" t="s">
        <v>70</v>
      </c>
    </row>
    <row r="4" ht="148.5" spans="1:10">
      <c r="A4" s="2">
        <v>3</v>
      </c>
      <c r="B4" s="2" t="s">
        <v>71</v>
      </c>
      <c r="C4" s="2">
        <v>400000</v>
      </c>
      <c r="D4" s="2">
        <v>700000</v>
      </c>
      <c r="E4" s="2">
        <v>550000</v>
      </c>
      <c r="F4" s="2" t="s">
        <v>62</v>
      </c>
      <c r="G4" s="2" t="s">
        <v>72</v>
      </c>
      <c r="H4" s="2" t="s">
        <v>73</v>
      </c>
      <c r="I4" s="2" t="s">
        <v>74</v>
      </c>
      <c r="J4" s="2" t="s">
        <v>75</v>
      </c>
    </row>
    <row r="5" ht="175.5" spans="1:10">
      <c r="A5" s="2">
        <v>4</v>
      </c>
      <c r="B5" s="2" t="s">
        <v>76</v>
      </c>
      <c r="C5" s="2">
        <v>300000</v>
      </c>
      <c r="D5" s="2">
        <v>300000</v>
      </c>
      <c r="E5" s="2">
        <v>300000</v>
      </c>
      <c r="F5" s="2" t="s">
        <v>62</v>
      </c>
      <c r="G5" s="2" t="s">
        <v>77</v>
      </c>
      <c r="H5" s="2" t="s">
        <v>78</v>
      </c>
      <c r="I5" s="2" t="s">
        <v>65</v>
      </c>
      <c r="J5" s="2" t="s">
        <v>79</v>
      </c>
    </row>
    <row r="6" ht="148.5" spans="1:10">
      <c r="A6" s="2">
        <v>5</v>
      </c>
      <c r="B6" s="2" t="s">
        <v>80</v>
      </c>
      <c r="C6" s="2">
        <v>30000</v>
      </c>
      <c r="D6" s="2">
        <v>50000</v>
      </c>
      <c r="E6" s="2">
        <v>40000</v>
      </c>
      <c r="F6" s="2" t="s">
        <v>62</v>
      </c>
      <c r="G6" s="2" t="s">
        <v>81</v>
      </c>
      <c r="H6" s="2" t="s">
        <v>82</v>
      </c>
      <c r="I6" s="2" t="s">
        <v>74</v>
      </c>
      <c r="J6" s="2" t="s">
        <v>83</v>
      </c>
    </row>
    <row r="7" ht="189" spans="1:10">
      <c r="A7" s="2">
        <v>6</v>
      </c>
      <c r="B7" s="2" t="s">
        <v>84</v>
      </c>
      <c r="C7" s="2">
        <v>12025</v>
      </c>
      <c r="D7" s="2">
        <v>12025</v>
      </c>
      <c r="E7" s="2">
        <v>12025</v>
      </c>
      <c r="F7" s="2" t="s">
        <v>62</v>
      </c>
      <c r="G7" s="2" t="s">
        <v>85</v>
      </c>
      <c r="H7" s="2" t="s">
        <v>86</v>
      </c>
      <c r="I7" s="2" t="s">
        <v>87</v>
      </c>
      <c r="J7" s="2" t="s">
        <v>88</v>
      </c>
    </row>
    <row r="8" ht="162" spans="1:10">
      <c r="A8" s="2">
        <v>7</v>
      </c>
      <c r="B8" s="2" t="s">
        <v>89</v>
      </c>
      <c r="C8" s="2">
        <v>5025</v>
      </c>
      <c r="D8" s="2">
        <v>6025</v>
      </c>
      <c r="E8" s="2">
        <v>5525</v>
      </c>
      <c r="F8" s="2" t="s">
        <v>62</v>
      </c>
      <c r="G8" s="2" t="s">
        <v>90</v>
      </c>
      <c r="H8" s="2" t="s">
        <v>91</v>
      </c>
      <c r="I8" s="2" t="s">
        <v>87</v>
      </c>
      <c r="J8" s="2" t="s">
        <v>92</v>
      </c>
    </row>
    <row r="9" ht="162" spans="1:10">
      <c r="A9" s="2">
        <v>8</v>
      </c>
      <c r="B9" s="2" t="s">
        <v>93</v>
      </c>
      <c r="C9" s="2">
        <v>5125</v>
      </c>
      <c r="D9" s="2">
        <v>5125</v>
      </c>
      <c r="E9" s="2">
        <v>5125</v>
      </c>
      <c r="F9" s="2" t="s">
        <v>62</v>
      </c>
      <c r="G9" s="2" t="s">
        <v>94</v>
      </c>
      <c r="H9" s="2" t="s">
        <v>95</v>
      </c>
      <c r="I9" s="2" t="s">
        <v>87</v>
      </c>
      <c r="J9" s="2" t="s">
        <v>96</v>
      </c>
    </row>
    <row r="10" ht="189" spans="1:10">
      <c r="A10" s="2">
        <v>9</v>
      </c>
      <c r="B10" s="2" t="s">
        <v>97</v>
      </c>
      <c r="C10" s="2">
        <v>2525</v>
      </c>
      <c r="D10" s="2">
        <v>2625</v>
      </c>
      <c r="E10" s="2">
        <v>2575</v>
      </c>
      <c r="F10" s="2" t="s">
        <v>62</v>
      </c>
      <c r="G10" s="2" t="s">
        <v>98</v>
      </c>
      <c r="H10" s="2" t="s">
        <v>99</v>
      </c>
      <c r="I10" s="2" t="s">
        <v>87</v>
      </c>
      <c r="J10" s="2" t="s">
        <v>100</v>
      </c>
    </row>
    <row r="11" ht="162" spans="1:10">
      <c r="A11" s="2">
        <v>10</v>
      </c>
      <c r="B11" s="2" t="s">
        <v>101</v>
      </c>
      <c r="C11" s="2">
        <v>1325</v>
      </c>
      <c r="D11" s="2">
        <v>2024</v>
      </c>
      <c r="E11" s="2">
        <v>1674.5</v>
      </c>
      <c r="F11" s="2" t="s">
        <v>62</v>
      </c>
      <c r="G11" s="2" t="s">
        <v>102</v>
      </c>
      <c r="H11" s="2" t="s">
        <v>103</v>
      </c>
      <c r="I11" s="2" t="s">
        <v>104</v>
      </c>
      <c r="J11" s="2" t="s">
        <v>105</v>
      </c>
    </row>
    <row r="12" ht="135" spans="1:10">
      <c r="A12" s="2">
        <v>11</v>
      </c>
      <c r="B12" s="2" t="s">
        <v>106</v>
      </c>
      <c r="C12" s="2">
        <v>338</v>
      </c>
      <c r="D12" s="2">
        <v>338</v>
      </c>
      <c r="E12" s="2">
        <v>338</v>
      </c>
      <c r="F12" s="2" t="s">
        <v>62</v>
      </c>
      <c r="G12" s="2" t="s">
        <v>107</v>
      </c>
      <c r="H12" s="2" t="s">
        <v>108</v>
      </c>
      <c r="I12" s="2" t="s">
        <v>109</v>
      </c>
      <c r="J12" s="2" t="s">
        <v>110</v>
      </c>
    </row>
    <row r="13" ht="135" spans="1:10">
      <c r="A13" s="2">
        <v>12</v>
      </c>
      <c r="B13" s="2" t="s">
        <v>111</v>
      </c>
      <c r="C13" s="2">
        <v>125</v>
      </c>
      <c r="D13" s="2">
        <v>125</v>
      </c>
      <c r="E13" s="2">
        <v>125</v>
      </c>
      <c r="F13" s="2" t="s">
        <v>62</v>
      </c>
      <c r="G13" s="2" t="s">
        <v>112</v>
      </c>
      <c r="H13" s="2" t="s">
        <v>113</v>
      </c>
      <c r="I13" s="2" t="s">
        <v>109</v>
      </c>
      <c r="J13" s="2" t="s">
        <v>114</v>
      </c>
    </row>
    <row r="14" ht="229.5" spans="1:10">
      <c r="A14" s="2">
        <v>13</v>
      </c>
      <c r="B14" s="2" t="s">
        <v>115</v>
      </c>
      <c r="C14" s="2">
        <v>35</v>
      </c>
      <c r="D14" s="2">
        <v>55</v>
      </c>
      <c r="E14" s="2">
        <v>45</v>
      </c>
      <c r="F14" s="2" t="s">
        <v>62</v>
      </c>
      <c r="G14" s="2" t="s">
        <v>116</v>
      </c>
      <c r="H14" s="2" t="s">
        <v>117</v>
      </c>
      <c r="I14" s="2" t="s">
        <v>118</v>
      </c>
      <c r="J14" s="2" t="s">
        <v>119</v>
      </c>
    </row>
    <row r="15" ht="409.5" spans="1:10">
      <c r="A15" s="2">
        <v>14</v>
      </c>
      <c r="B15" s="2" t="s">
        <v>120</v>
      </c>
      <c r="C15" s="2">
        <v>5</v>
      </c>
      <c r="D15" s="2">
        <v>15</v>
      </c>
      <c r="E15" s="2">
        <v>10</v>
      </c>
      <c r="F15" s="2" t="s">
        <v>62</v>
      </c>
      <c r="G15" s="2" t="s">
        <v>121</v>
      </c>
      <c r="H15" s="2" t="s">
        <v>122</v>
      </c>
      <c r="I15" s="2" t="s">
        <v>123</v>
      </c>
      <c r="J15" s="2" t="s">
        <v>124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15"/>
  <sheetViews>
    <sheetView tabSelected="1" workbookViewId="0">
      <pane ySplit="1" topLeftCell="A3" activePane="bottomLeft" state="frozen"/>
      <selection/>
      <selection pane="bottomLeft" activeCell="A1" sqref="A1"/>
    </sheetView>
  </sheetViews>
  <sheetFormatPr defaultColWidth="9" defaultRowHeight="13.5"/>
  <cols>
    <col min="1" max="1" width="10" customWidth="1"/>
    <col min="2" max="2" width="11" customWidth="1"/>
    <col min="3" max="4" width="15" customWidth="1"/>
    <col min="5" max="5" width="16" customWidth="1"/>
    <col min="6" max="6" width="10" customWidth="1"/>
    <col min="7" max="7" width="19" customWidth="1"/>
    <col min="8" max="9" width="18" customWidth="1"/>
    <col min="10" max="10" width="10" customWidth="1"/>
  </cols>
  <sheetData>
    <row r="1" ht="27" spans="1:10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7</v>
      </c>
    </row>
    <row r="2" ht="189" spans="1:10">
      <c r="A2" s="2">
        <v>1</v>
      </c>
      <c r="B2" s="2" t="s">
        <v>125</v>
      </c>
      <c r="C2" s="2">
        <v>3900000000</v>
      </c>
      <c r="D2" s="2">
        <v>3900000000</v>
      </c>
      <c r="E2" s="2">
        <v>3900000000</v>
      </c>
      <c r="F2" s="2" t="s">
        <v>62</v>
      </c>
      <c r="G2" s="2" t="s">
        <v>126</v>
      </c>
      <c r="H2" s="2" t="s">
        <v>127</v>
      </c>
      <c r="I2" s="2" t="s">
        <v>128</v>
      </c>
      <c r="J2" s="2" t="s">
        <v>129</v>
      </c>
    </row>
    <row r="3" ht="189" spans="1:10">
      <c r="A3" s="2">
        <v>2</v>
      </c>
      <c r="B3" s="2" t="s">
        <v>130</v>
      </c>
      <c r="C3" s="2">
        <v>2400000000</v>
      </c>
      <c r="D3" s="2">
        <v>2400000000</v>
      </c>
      <c r="E3" s="2">
        <v>2400000000</v>
      </c>
      <c r="F3" s="2" t="s">
        <v>62</v>
      </c>
      <c r="G3" s="2" t="s">
        <v>131</v>
      </c>
      <c r="H3" s="2" t="s">
        <v>132</v>
      </c>
      <c r="I3" s="2" t="s">
        <v>128</v>
      </c>
      <c r="J3" s="2" t="s">
        <v>133</v>
      </c>
    </row>
    <row r="4" ht="189" spans="1:10">
      <c r="A4" s="2">
        <v>3</v>
      </c>
      <c r="B4" s="2" t="s">
        <v>134</v>
      </c>
      <c r="C4" s="2">
        <v>1800000000</v>
      </c>
      <c r="D4" s="2">
        <v>1800000000</v>
      </c>
      <c r="E4" s="2">
        <v>1800000000</v>
      </c>
      <c r="F4" s="2" t="s">
        <v>62</v>
      </c>
      <c r="G4" s="2" t="s">
        <v>135</v>
      </c>
      <c r="H4" s="2" t="s">
        <v>136</v>
      </c>
      <c r="I4" s="2" t="s">
        <v>128</v>
      </c>
      <c r="J4" s="2" t="s">
        <v>137</v>
      </c>
    </row>
    <row r="5" ht="189" spans="1:10">
      <c r="A5" s="2">
        <v>4</v>
      </c>
      <c r="B5" s="2" t="s">
        <v>138</v>
      </c>
      <c r="C5" s="2">
        <v>1000000000</v>
      </c>
      <c r="D5" s="2">
        <v>1000000000</v>
      </c>
      <c r="E5" s="2">
        <v>1000000000</v>
      </c>
      <c r="F5" s="2" t="s">
        <v>62</v>
      </c>
      <c r="G5" s="2" t="s">
        <v>136</v>
      </c>
      <c r="H5" s="2" t="s">
        <v>132</v>
      </c>
      <c r="I5" s="2" t="s">
        <v>128</v>
      </c>
      <c r="J5" s="2" t="s">
        <v>139</v>
      </c>
    </row>
    <row r="6" ht="189" spans="1:10">
      <c r="A6" s="2">
        <v>5</v>
      </c>
      <c r="B6" s="2" t="s">
        <v>140</v>
      </c>
      <c r="C6" s="2">
        <v>800000000</v>
      </c>
      <c r="D6" s="2">
        <v>800000000</v>
      </c>
      <c r="E6" s="2">
        <v>800000000</v>
      </c>
      <c r="F6" s="2" t="s">
        <v>62</v>
      </c>
      <c r="G6" s="2" t="s">
        <v>141</v>
      </c>
      <c r="H6" s="2" t="s">
        <v>132</v>
      </c>
      <c r="I6" s="2" t="s">
        <v>128</v>
      </c>
      <c r="J6" s="2" t="s">
        <v>142</v>
      </c>
    </row>
    <row r="7" ht="189" spans="1:10">
      <c r="A7" s="2">
        <v>6</v>
      </c>
      <c r="B7" s="2" t="s">
        <v>143</v>
      </c>
      <c r="C7" s="2">
        <v>541000000</v>
      </c>
      <c r="D7" s="2">
        <v>541000000</v>
      </c>
      <c r="E7" s="2">
        <v>541000000</v>
      </c>
      <c r="F7" s="2" t="s">
        <v>62</v>
      </c>
      <c r="G7" s="2" t="s">
        <v>144</v>
      </c>
      <c r="H7" s="2" t="s">
        <v>132</v>
      </c>
      <c r="I7" s="2" t="s">
        <v>128</v>
      </c>
      <c r="J7" s="2" t="s">
        <v>145</v>
      </c>
    </row>
    <row r="8" ht="189" spans="1:10">
      <c r="A8" s="2">
        <v>7</v>
      </c>
      <c r="B8" s="2" t="s">
        <v>146</v>
      </c>
      <c r="C8" s="2">
        <v>430000000</v>
      </c>
      <c r="D8" s="2">
        <v>430000000</v>
      </c>
      <c r="E8" s="2">
        <v>430000000</v>
      </c>
      <c r="F8" s="2" t="s">
        <v>62</v>
      </c>
      <c r="G8" s="2" t="s">
        <v>147</v>
      </c>
      <c r="H8" s="2" t="s">
        <v>132</v>
      </c>
      <c r="I8" s="2" t="s">
        <v>128</v>
      </c>
      <c r="J8" s="2" t="s">
        <v>148</v>
      </c>
    </row>
    <row r="9" ht="189" spans="1:10">
      <c r="A9" s="2">
        <v>8</v>
      </c>
      <c r="B9" s="2" t="s">
        <v>149</v>
      </c>
      <c r="C9" s="2">
        <v>370000000</v>
      </c>
      <c r="D9" s="2">
        <v>370000000</v>
      </c>
      <c r="E9" s="2">
        <v>370000000</v>
      </c>
      <c r="F9" s="2" t="s">
        <v>62</v>
      </c>
      <c r="G9" s="2" t="s">
        <v>150</v>
      </c>
      <c r="H9" s="2" t="s">
        <v>151</v>
      </c>
      <c r="I9" s="2" t="s">
        <v>128</v>
      </c>
      <c r="J9" s="2" t="s">
        <v>152</v>
      </c>
    </row>
    <row r="10" ht="189" spans="1:10">
      <c r="A10" s="2">
        <v>9</v>
      </c>
      <c r="B10" s="2" t="s">
        <v>153</v>
      </c>
      <c r="C10" s="2">
        <v>312000000</v>
      </c>
      <c r="D10" s="2">
        <v>312000000</v>
      </c>
      <c r="E10" s="2">
        <v>312000000</v>
      </c>
      <c r="F10" s="2" t="s">
        <v>62</v>
      </c>
      <c r="G10" s="2" t="s">
        <v>154</v>
      </c>
      <c r="H10" s="2" t="s">
        <v>155</v>
      </c>
      <c r="I10" s="2" t="s">
        <v>128</v>
      </c>
      <c r="J10" s="2" t="s">
        <v>156</v>
      </c>
    </row>
    <row r="11" ht="189" spans="1:10">
      <c r="A11" s="2">
        <v>10</v>
      </c>
      <c r="B11" s="2" t="s">
        <v>157</v>
      </c>
      <c r="C11" s="2">
        <v>210000000</v>
      </c>
      <c r="D11" s="2">
        <v>210000000</v>
      </c>
      <c r="E11" s="2">
        <v>210000000</v>
      </c>
      <c r="F11" s="2" t="s">
        <v>62</v>
      </c>
      <c r="G11" s="2" t="s">
        <v>158</v>
      </c>
      <c r="H11" s="2" t="s">
        <v>132</v>
      </c>
      <c r="I11" s="2" t="s">
        <v>128</v>
      </c>
      <c r="J11" s="2" t="s">
        <v>159</v>
      </c>
    </row>
    <row r="12" ht="189" spans="1:10">
      <c r="A12" s="2">
        <v>11</v>
      </c>
      <c r="B12" s="2" t="s">
        <v>160</v>
      </c>
      <c r="C12" s="2">
        <v>66000000</v>
      </c>
      <c r="D12" s="2">
        <v>66000000</v>
      </c>
      <c r="E12" s="2">
        <v>66000000</v>
      </c>
      <c r="F12" s="2" t="s">
        <v>62</v>
      </c>
      <c r="G12" s="2" t="s">
        <v>161</v>
      </c>
      <c r="H12" s="2" t="s">
        <v>132</v>
      </c>
      <c r="I12" s="2" t="s">
        <v>128</v>
      </c>
      <c r="J12" s="2" t="s">
        <v>162</v>
      </c>
    </row>
    <row r="13" ht="189" spans="1:10">
      <c r="A13" s="2">
        <v>12</v>
      </c>
      <c r="B13" s="2" t="s">
        <v>163</v>
      </c>
      <c r="C13" s="2">
        <v>25000000</v>
      </c>
      <c r="D13" s="2">
        <v>25000000</v>
      </c>
      <c r="E13" s="2">
        <v>25000000</v>
      </c>
      <c r="F13" s="2" t="s">
        <v>62</v>
      </c>
      <c r="G13" s="2" t="s">
        <v>164</v>
      </c>
      <c r="H13" s="2" t="s">
        <v>132</v>
      </c>
      <c r="I13" s="2" t="s">
        <v>128</v>
      </c>
      <c r="J13" s="2" t="s">
        <v>165</v>
      </c>
    </row>
    <row r="14" ht="189" spans="1:10">
      <c r="A14" s="2">
        <v>13</v>
      </c>
      <c r="B14" s="2" t="s">
        <v>166</v>
      </c>
      <c r="C14" s="2">
        <v>7000000</v>
      </c>
      <c r="D14" s="2">
        <v>7000000</v>
      </c>
      <c r="E14" s="2">
        <v>7000000</v>
      </c>
      <c r="F14" s="2" t="s">
        <v>62</v>
      </c>
      <c r="G14" s="2" t="s">
        <v>167</v>
      </c>
      <c r="H14" s="2" t="s">
        <v>132</v>
      </c>
      <c r="I14" s="2" t="s">
        <v>128</v>
      </c>
      <c r="J14" s="2" t="s">
        <v>168</v>
      </c>
    </row>
    <row r="15" ht="189" spans="1:10">
      <c r="A15" s="2">
        <v>14</v>
      </c>
      <c r="B15" s="2" t="s">
        <v>169</v>
      </c>
      <c r="C15" s="2">
        <v>300000</v>
      </c>
      <c r="D15" s="2">
        <v>300000</v>
      </c>
      <c r="E15" s="2">
        <v>300000</v>
      </c>
      <c r="F15" s="2" t="s">
        <v>62</v>
      </c>
      <c r="G15" s="2" t="s">
        <v>170</v>
      </c>
      <c r="H15" s="2" t="s">
        <v>132</v>
      </c>
      <c r="I15" s="2" t="s">
        <v>128</v>
      </c>
      <c r="J15" s="2" t="s">
        <v>171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2" customWidth="1"/>
    <col min="2" max="2" width="14" customWidth="1"/>
    <col min="3" max="4" width="25" customWidth="1"/>
    <col min="5" max="5" width="55" customWidth="1"/>
    <col min="6" max="6" width="31" customWidth="1"/>
    <col min="7" max="7" width="10" customWidth="1"/>
  </cols>
  <sheetData>
    <row r="1" ht="27" spans="1:7">
      <c r="A1" s="1" t="s">
        <v>172</v>
      </c>
      <c r="B1" s="1" t="s">
        <v>173</v>
      </c>
      <c r="C1" s="1" t="s">
        <v>174</v>
      </c>
      <c r="D1" s="1" t="s">
        <v>175</v>
      </c>
      <c r="E1" s="1" t="s">
        <v>49</v>
      </c>
      <c r="F1" s="1" t="s">
        <v>51</v>
      </c>
      <c r="G1" s="1" t="s">
        <v>7</v>
      </c>
    </row>
    <row r="2" spans="1:7">
      <c r="A2" s="2">
        <v>1</v>
      </c>
      <c r="B2" s="2">
        <v>2</v>
      </c>
      <c r="C2" s="2">
        <f>Civilization_Nodes!E2</f>
        <v>3000000</v>
      </c>
      <c r="D2" s="2">
        <f>Civilization_Nodes!E3</f>
        <v>2500000</v>
      </c>
      <c r="E2" s="2"/>
      <c r="F2" s="2" t="str">
        <f t="shared" ref="F2:F14" si="0">IF(ISNUMBER(E2),LN(E2),"")</f>
        <v/>
      </c>
      <c r="G2" s="2" t="s">
        <v>132</v>
      </c>
    </row>
    <row r="3" spans="1:7">
      <c r="A3" s="2">
        <v>2</v>
      </c>
      <c r="B3" s="2">
        <v>3</v>
      </c>
      <c r="C3" s="2">
        <f>Civilization_Nodes!E3</f>
        <v>2500000</v>
      </c>
      <c r="D3" s="2">
        <f>Civilization_Nodes!E4</f>
        <v>550000</v>
      </c>
      <c r="E3" s="2"/>
      <c r="F3" s="2" t="str">
        <f t="shared" si="0"/>
        <v/>
      </c>
      <c r="G3" s="2" t="s">
        <v>132</v>
      </c>
    </row>
    <row r="4" spans="1:7">
      <c r="A4" s="2">
        <v>3</v>
      </c>
      <c r="B4" s="2">
        <v>4</v>
      </c>
      <c r="C4" s="2">
        <f>Civilization_Nodes!E4</f>
        <v>550000</v>
      </c>
      <c r="D4" s="2">
        <f>Civilization_Nodes!E5</f>
        <v>300000</v>
      </c>
      <c r="E4" s="2"/>
      <c r="F4" s="2" t="str">
        <f t="shared" si="0"/>
        <v/>
      </c>
      <c r="G4" s="2" t="s">
        <v>132</v>
      </c>
    </row>
    <row r="5" spans="1:7">
      <c r="A5" s="2">
        <v>4</v>
      </c>
      <c r="B5" s="2">
        <v>5</v>
      </c>
      <c r="C5" s="2">
        <f>Civilization_Nodes!E5</f>
        <v>300000</v>
      </c>
      <c r="D5" s="2">
        <f>Civilization_Nodes!E6</f>
        <v>40000</v>
      </c>
      <c r="E5" s="2"/>
      <c r="F5" s="2" t="str">
        <f t="shared" si="0"/>
        <v/>
      </c>
      <c r="G5" s="2" t="s">
        <v>132</v>
      </c>
    </row>
    <row r="6" spans="1:7">
      <c r="A6" s="2">
        <v>5</v>
      </c>
      <c r="B6" s="2">
        <v>6</v>
      </c>
      <c r="C6" s="2">
        <f>Civilization_Nodes!E6</f>
        <v>40000</v>
      </c>
      <c r="D6" s="2">
        <f>Civilization_Nodes!E7</f>
        <v>12025</v>
      </c>
      <c r="E6" s="2"/>
      <c r="F6" s="2" t="str">
        <f t="shared" si="0"/>
        <v/>
      </c>
      <c r="G6" s="2" t="s">
        <v>132</v>
      </c>
    </row>
    <row r="7" spans="1:7">
      <c r="A7" s="2">
        <v>6</v>
      </c>
      <c r="B7" s="2">
        <v>7</v>
      </c>
      <c r="C7" s="2">
        <f>Civilization_Nodes!E7</f>
        <v>12025</v>
      </c>
      <c r="D7" s="2">
        <f>Civilization_Nodes!E8</f>
        <v>5525</v>
      </c>
      <c r="E7" s="2"/>
      <c r="F7" s="2" t="str">
        <f t="shared" si="0"/>
        <v/>
      </c>
      <c r="G7" s="2" t="s">
        <v>132</v>
      </c>
    </row>
    <row r="8" spans="1:7">
      <c r="A8" s="2">
        <v>7</v>
      </c>
      <c r="B8" s="2">
        <v>8</v>
      </c>
      <c r="C8" s="2">
        <f>Civilization_Nodes!E8</f>
        <v>5525</v>
      </c>
      <c r="D8" s="2">
        <f>Civilization_Nodes!E9</f>
        <v>5125</v>
      </c>
      <c r="E8" s="2"/>
      <c r="F8" s="2" t="str">
        <f t="shared" si="0"/>
        <v/>
      </c>
      <c r="G8" s="2" t="s">
        <v>132</v>
      </c>
    </row>
    <row r="9" spans="1:7">
      <c r="A9" s="2">
        <v>8</v>
      </c>
      <c r="B9" s="2">
        <v>9</v>
      </c>
      <c r="C9" s="2">
        <f>Civilization_Nodes!E9</f>
        <v>5125</v>
      </c>
      <c r="D9" s="2">
        <f>Civilization_Nodes!E10</f>
        <v>2575</v>
      </c>
      <c r="E9" s="2"/>
      <c r="F9" s="2" t="str">
        <f t="shared" si="0"/>
        <v/>
      </c>
      <c r="G9" s="2" t="s">
        <v>132</v>
      </c>
    </row>
    <row r="10" spans="1:7">
      <c r="A10" s="2">
        <v>9</v>
      </c>
      <c r="B10" s="2">
        <v>10</v>
      </c>
      <c r="C10" s="2">
        <f>Civilization_Nodes!E10</f>
        <v>2575</v>
      </c>
      <c r="D10" s="2">
        <f>Civilization_Nodes!E11</f>
        <v>1674.5</v>
      </c>
      <c r="E10" s="2"/>
      <c r="F10" s="2" t="str">
        <f t="shared" si="0"/>
        <v/>
      </c>
      <c r="G10" s="2" t="s">
        <v>132</v>
      </c>
    </row>
    <row r="11" spans="1:7">
      <c r="A11" s="2">
        <v>10</v>
      </c>
      <c r="B11" s="2">
        <v>11</v>
      </c>
      <c r="C11" s="2">
        <f>Civilization_Nodes!E11</f>
        <v>1674.5</v>
      </c>
      <c r="D11" s="2">
        <f>Civilization_Nodes!E12</f>
        <v>338</v>
      </c>
      <c r="E11" s="2"/>
      <c r="F11" s="2" t="str">
        <f t="shared" si="0"/>
        <v/>
      </c>
      <c r="G11" s="2" t="s">
        <v>132</v>
      </c>
    </row>
    <row r="12" spans="1:7">
      <c r="A12" s="2">
        <v>11</v>
      </c>
      <c r="B12" s="2">
        <v>12</v>
      </c>
      <c r="C12" s="2">
        <f>Civilization_Nodes!E12</f>
        <v>338</v>
      </c>
      <c r="D12" s="2">
        <f>Civilization_Nodes!E13</f>
        <v>125</v>
      </c>
      <c r="E12" s="2"/>
      <c r="F12" s="2" t="str">
        <f t="shared" si="0"/>
        <v/>
      </c>
      <c r="G12" s="2" t="s">
        <v>132</v>
      </c>
    </row>
    <row r="13" spans="1:7">
      <c r="A13" s="2">
        <v>12</v>
      </c>
      <c r="B13" s="2">
        <v>13</v>
      </c>
      <c r="C13" s="2">
        <f>Civilization_Nodes!E13</f>
        <v>125</v>
      </c>
      <c r="D13" s="2">
        <f>Civilization_Nodes!E14</f>
        <v>45</v>
      </c>
      <c r="E13" s="2"/>
      <c r="F13" s="2" t="str">
        <f t="shared" si="0"/>
        <v/>
      </c>
      <c r="G13" s="2" t="s">
        <v>132</v>
      </c>
    </row>
    <row r="14" spans="1:7">
      <c r="A14" s="2">
        <v>13</v>
      </c>
      <c r="B14" s="2">
        <v>14</v>
      </c>
      <c r="C14" s="2">
        <f>Civilization_Nodes!E14</f>
        <v>45</v>
      </c>
      <c r="D14" s="2">
        <f>Civilization_Nodes!E15</f>
        <v>10</v>
      </c>
      <c r="E14" s="2"/>
      <c r="F14" s="2" t="str">
        <f t="shared" si="0"/>
        <v/>
      </c>
      <c r="G14" s="2" t="s">
        <v>132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2" customWidth="1"/>
    <col min="2" max="2" width="14" customWidth="1"/>
    <col min="3" max="4" width="27" customWidth="1"/>
    <col min="5" max="5" width="55" customWidth="1"/>
    <col min="6" max="6" width="31" customWidth="1"/>
    <col min="7" max="7" width="10" customWidth="1"/>
  </cols>
  <sheetData>
    <row r="1" ht="27" spans="1:7">
      <c r="A1" s="1" t="s">
        <v>172</v>
      </c>
      <c r="B1" s="1" t="s">
        <v>173</v>
      </c>
      <c r="C1" s="1" t="s">
        <v>174</v>
      </c>
      <c r="D1" s="1" t="s">
        <v>175</v>
      </c>
      <c r="E1" s="1" t="s">
        <v>49</v>
      </c>
      <c r="F1" s="1" t="s">
        <v>51</v>
      </c>
      <c r="G1" s="1" t="s">
        <v>7</v>
      </c>
    </row>
    <row r="2" spans="1:7">
      <c r="A2" s="2">
        <v>1</v>
      </c>
      <c r="B2" s="2">
        <v>2</v>
      </c>
      <c r="C2" s="2">
        <f>Life_Evolution_Nodes!E2</f>
        <v>3900000000</v>
      </c>
      <c r="D2" s="2">
        <f>Life_Evolution_Nodes!E3</f>
        <v>2400000000</v>
      </c>
      <c r="E2" s="2"/>
      <c r="F2" s="2" t="str">
        <f t="shared" ref="F2:F14" si="0">IF(ISNUMBER(E2),LN(E2),"")</f>
        <v/>
      </c>
      <c r="G2" s="2" t="s">
        <v>132</v>
      </c>
    </row>
    <row r="3" spans="1:7">
      <c r="A3" s="2">
        <v>2</v>
      </c>
      <c r="B3" s="2">
        <v>3</v>
      </c>
      <c r="C3" s="2">
        <f>Life_Evolution_Nodes!E3</f>
        <v>2400000000</v>
      </c>
      <c r="D3" s="2">
        <f>Life_Evolution_Nodes!E4</f>
        <v>1800000000</v>
      </c>
      <c r="E3" s="2"/>
      <c r="F3" s="2" t="str">
        <f t="shared" si="0"/>
        <v/>
      </c>
      <c r="G3" s="2" t="s">
        <v>132</v>
      </c>
    </row>
    <row r="4" spans="1:7">
      <c r="A4" s="2">
        <v>3</v>
      </c>
      <c r="B4" s="2">
        <v>4</v>
      </c>
      <c r="C4" s="2">
        <f>Life_Evolution_Nodes!E4</f>
        <v>1800000000</v>
      </c>
      <c r="D4" s="2">
        <f>Life_Evolution_Nodes!E5</f>
        <v>1000000000</v>
      </c>
      <c r="E4" s="2"/>
      <c r="F4" s="2" t="str">
        <f t="shared" si="0"/>
        <v/>
      </c>
      <c r="G4" s="2" t="s">
        <v>132</v>
      </c>
    </row>
    <row r="5" spans="1:7">
      <c r="A5" s="2">
        <v>4</v>
      </c>
      <c r="B5" s="2">
        <v>5</v>
      </c>
      <c r="C5" s="2">
        <f>Life_Evolution_Nodes!E5</f>
        <v>1000000000</v>
      </c>
      <c r="D5" s="2">
        <f>Life_Evolution_Nodes!E6</f>
        <v>800000000</v>
      </c>
      <c r="E5" s="2"/>
      <c r="F5" s="2" t="str">
        <f t="shared" si="0"/>
        <v/>
      </c>
      <c r="G5" s="2" t="s">
        <v>132</v>
      </c>
    </row>
    <row r="6" spans="1:7">
      <c r="A6" s="2">
        <v>5</v>
      </c>
      <c r="B6" s="2">
        <v>6</v>
      </c>
      <c r="C6" s="2">
        <f>Life_Evolution_Nodes!E6</f>
        <v>800000000</v>
      </c>
      <c r="D6" s="2">
        <f>Life_Evolution_Nodes!E7</f>
        <v>541000000</v>
      </c>
      <c r="E6" s="2"/>
      <c r="F6" s="2" t="str">
        <f t="shared" si="0"/>
        <v/>
      </c>
      <c r="G6" s="2" t="s">
        <v>132</v>
      </c>
    </row>
    <row r="7" spans="1:7">
      <c r="A7" s="2">
        <v>6</v>
      </c>
      <c r="B7" s="2">
        <v>7</v>
      </c>
      <c r="C7" s="2">
        <f>Life_Evolution_Nodes!E7</f>
        <v>541000000</v>
      </c>
      <c r="D7" s="2">
        <f>Life_Evolution_Nodes!E8</f>
        <v>430000000</v>
      </c>
      <c r="E7" s="2"/>
      <c r="F7" s="2" t="str">
        <f t="shared" si="0"/>
        <v/>
      </c>
      <c r="G7" s="2" t="s">
        <v>132</v>
      </c>
    </row>
    <row r="8" spans="1:7">
      <c r="A8" s="2">
        <v>7</v>
      </c>
      <c r="B8" s="2">
        <v>8</v>
      </c>
      <c r="C8" s="2">
        <f>Life_Evolution_Nodes!E8</f>
        <v>430000000</v>
      </c>
      <c r="D8" s="2">
        <f>Life_Evolution_Nodes!E9</f>
        <v>370000000</v>
      </c>
      <c r="E8" s="2"/>
      <c r="F8" s="2" t="str">
        <f t="shared" si="0"/>
        <v/>
      </c>
      <c r="G8" s="2" t="s">
        <v>132</v>
      </c>
    </row>
    <row r="9" spans="1:7">
      <c r="A9" s="2">
        <v>8</v>
      </c>
      <c r="B9" s="2">
        <v>9</v>
      </c>
      <c r="C9" s="2">
        <f>Life_Evolution_Nodes!E9</f>
        <v>370000000</v>
      </c>
      <c r="D9" s="2">
        <f>Life_Evolution_Nodes!E10</f>
        <v>312000000</v>
      </c>
      <c r="E9" s="2"/>
      <c r="F9" s="2" t="str">
        <f t="shared" si="0"/>
        <v/>
      </c>
      <c r="G9" s="2" t="s">
        <v>132</v>
      </c>
    </row>
    <row r="10" spans="1:7">
      <c r="A10" s="2">
        <v>9</v>
      </c>
      <c r="B10" s="2">
        <v>10</v>
      </c>
      <c r="C10" s="2">
        <f>Life_Evolution_Nodes!E10</f>
        <v>312000000</v>
      </c>
      <c r="D10" s="2">
        <f>Life_Evolution_Nodes!E11</f>
        <v>210000000</v>
      </c>
      <c r="E10" s="2"/>
      <c r="F10" s="2" t="str">
        <f t="shared" si="0"/>
        <v/>
      </c>
      <c r="G10" s="2" t="s">
        <v>132</v>
      </c>
    </row>
    <row r="11" spans="1:7">
      <c r="A11" s="2">
        <v>10</v>
      </c>
      <c r="B11" s="2">
        <v>11</v>
      </c>
      <c r="C11" s="2">
        <f>Life_Evolution_Nodes!E11</f>
        <v>210000000</v>
      </c>
      <c r="D11" s="2">
        <f>Life_Evolution_Nodes!E12</f>
        <v>66000000</v>
      </c>
      <c r="E11" s="2"/>
      <c r="F11" s="2" t="str">
        <f t="shared" si="0"/>
        <v/>
      </c>
      <c r="G11" s="2" t="s">
        <v>132</v>
      </c>
    </row>
    <row r="12" spans="1:7">
      <c r="A12" s="2">
        <v>11</v>
      </c>
      <c r="B12" s="2">
        <v>12</v>
      </c>
      <c r="C12" s="2">
        <f>Life_Evolution_Nodes!E12</f>
        <v>66000000</v>
      </c>
      <c r="D12" s="2">
        <f>Life_Evolution_Nodes!E13</f>
        <v>25000000</v>
      </c>
      <c r="E12" s="2"/>
      <c r="F12" s="2" t="str">
        <f t="shared" si="0"/>
        <v/>
      </c>
      <c r="G12" s="2" t="s">
        <v>132</v>
      </c>
    </row>
    <row r="13" spans="1:7">
      <c r="A13" s="2">
        <v>12</v>
      </c>
      <c r="B13" s="2">
        <v>13</v>
      </c>
      <c r="C13" s="2">
        <f>Life_Evolution_Nodes!E13</f>
        <v>25000000</v>
      </c>
      <c r="D13" s="2">
        <f>Life_Evolution_Nodes!E14</f>
        <v>7000000</v>
      </c>
      <c r="E13" s="2"/>
      <c r="F13" s="2" t="str">
        <f t="shared" si="0"/>
        <v/>
      </c>
      <c r="G13" s="2" t="s">
        <v>132</v>
      </c>
    </row>
    <row r="14" spans="1:7">
      <c r="A14" s="2">
        <v>13</v>
      </c>
      <c r="B14" s="2">
        <v>14</v>
      </c>
      <c r="C14" s="2">
        <f>Life_Evolution_Nodes!E14</f>
        <v>7000000</v>
      </c>
      <c r="D14" s="2">
        <f>Life_Evolution_Nodes!E15</f>
        <v>300000</v>
      </c>
      <c r="E14" s="2"/>
      <c r="F14" s="2" t="str">
        <f t="shared" si="0"/>
        <v/>
      </c>
      <c r="G14" s="2" t="s">
        <v>132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G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 outlineLevelCol="6"/>
  <cols>
    <col min="1" max="1" width="14" customWidth="1"/>
    <col min="2" max="2" width="10" customWidth="1"/>
    <col min="3" max="4" width="70" customWidth="1"/>
    <col min="5" max="5" width="10" customWidth="1"/>
    <col min="6" max="6" width="70" customWidth="1"/>
    <col min="7" max="7" width="30" customWidth="1"/>
  </cols>
  <sheetData>
    <row r="1" spans="1:7">
      <c r="A1" s="1" t="s">
        <v>176</v>
      </c>
      <c r="B1" s="1" t="s">
        <v>177</v>
      </c>
      <c r="C1" s="1" t="s">
        <v>55</v>
      </c>
      <c r="D1" s="1" t="s">
        <v>53</v>
      </c>
      <c r="E1" s="1" t="s">
        <v>57</v>
      </c>
      <c r="F1" s="1" t="s">
        <v>59</v>
      </c>
      <c r="G1" s="1" t="s">
        <v>7</v>
      </c>
    </row>
    <row r="2" spans="1:7">
      <c r="A2" s="2" t="s">
        <v>178</v>
      </c>
      <c r="B2" s="2" t="s">
        <v>179</v>
      </c>
      <c r="C2" s="2" t="e">
        <f>INDEX(LINEST(Civilization_Intervals!F2:F14,Civilization_Intervals!A2:A14,TRUE,TRUE),1,2)</f>
        <v>#VALUE!</v>
      </c>
      <c r="D2" s="2" t="e">
        <f>INDEX(LINEST(Civilization_Intervals!F2:F14,Civilization_Intervals!A2:A14,TRUE,TRUE),1,1)</f>
        <v>#VALUE!</v>
      </c>
      <c r="E2" s="2" t="e">
        <f>EXP(D2)</f>
        <v>#VALUE!</v>
      </c>
      <c r="F2" s="2" t="e">
        <f>INDEX(LINEST(Civilization_Intervals!F2:F14,Civilization_Intervals!A2:A14,TRUE,TRUE),3,1)</f>
        <v>#VALUE!</v>
      </c>
      <c r="G2" s="2" t="s">
        <v>180</v>
      </c>
    </row>
    <row r="3" spans="1:7">
      <c r="A3" s="2" t="s">
        <v>181</v>
      </c>
      <c r="B3" s="2" t="s">
        <v>179</v>
      </c>
      <c r="C3" s="2" t="e">
        <f>INDEX(LINEST(Life_Intervals!F2:F14,Life_Intervals!A2:A14,TRUE,TRUE),1,2)</f>
        <v>#VALUE!</v>
      </c>
      <c r="D3" s="2" t="e">
        <f>INDEX(LINEST(Life_Intervals!F2:F14,Life_Intervals!A2:A14,TRUE,TRUE),1,1)</f>
        <v>#VALUE!</v>
      </c>
      <c r="E3" s="2" t="e">
        <f>EXP(D3)</f>
        <v>#VALUE!</v>
      </c>
      <c r="F3" s="2" t="e">
        <f>INDEX(LINEST(Life_Intervals!F2:F14,Life_Intervals!A2:A14,TRUE,TRUE),3,1)</f>
        <v>#VALUE!</v>
      </c>
      <c r="G3" s="2" t="s">
        <v>180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G2"/>
  <sheetViews>
    <sheetView workbookViewId="0">
      <selection activeCell="A1" sqref="A1"/>
    </sheetView>
  </sheetViews>
  <sheetFormatPr defaultColWidth="9" defaultRowHeight="13.5" outlineLevelRow="1" outlineLevelCol="6"/>
  <cols>
    <col min="1" max="1" width="14" customWidth="1"/>
    <col min="2" max="2" width="38" customWidth="1"/>
    <col min="3" max="3" width="16" customWidth="1"/>
    <col min="4" max="4" width="18" customWidth="1"/>
    <col min="5" max="5" width="54" customWidth="1"/>
    <col min="6" max="6" width="28" customWidth="1"/>
    <col min="7" max="7" width="64" customWidth="1"/>
  </cols>
  <sheetData>
    <row r="1" spans="1:7">
      <c r="A1" t="s">
        <v>176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7</v>
      </c>
    </row>
    <row r="2" spans="1:7">
      <c r="A2" t="s">
        <v>178</v>
      </c>
      <c r="B2" t="s">
        <v>187</v>
      </c>
      <c r="C2">
        <v>2035</v>
      </c>
      <c r="D2">
        <v>-10</v>
      </c>
      <c r="E2" t="s">
        <v>188</v>
      </c>
      <c r="F2" t="s">
        <v>189</v>
      </c>
      <c r="G2" t="s">
        <v>190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README</vt:lpstr>
      <vt:lpstr>Provenance</vt:lpstr>
      <vt:lpstr>Data_Dictionary</vt:lpstr>
      <vt:lpstr>Civilization_Nodes</vt:lpstr>
      <vt:lpstr>Life_Evolution_Nodes</vt:lpstr>
      <vt:lpstr>Civilization_Intervals</vt:lpstr>
      <vt:lpstr>Life_Intervals</vt:lpstr>
      <vt:lpstr>Model_Fit</vt:lpstr>
      <vt:lpstr>Forecast_Window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蛋黄色的忧伤</cp:lastModifiedBy>
  <dcterms:created xsi:type="dcterms:W3CDTF">2026-02-02T11:37:00Z</dcterms:created>
  <dcterms:modified xsi:type="dcterms:W3CDTF">2026-02-02T13:11:56Z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F2AC0579D52F48FDA782F21D1B9FA76A_13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